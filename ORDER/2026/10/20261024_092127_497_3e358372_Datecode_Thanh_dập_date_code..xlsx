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" sheetId="1" state="visible" r:id="rId2"/>
  </sheets>
  <definedNames>
    <definedName function="false" hidden="false" localSheetId="0" name="_xlnm.Print_Area" vbProcedure="false">ALL!$A$4:$D$13</definedName>
    <definedName function="false" hidden="true" localSheetId="0" name="_xlnm._FilterDatabase" vbProcedure="false">ALL!$A$4:$D$4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<sst xmlns="http://schemas.openxmlformats.org/spreadsheetml/2006/main" count="15" uniqueCount="15">
  <si>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Số datecode</t>
  </si>
  <si>
    <t xml:space="preserve">Tổng số lượng </t>
  </si>
  <si>
    <t xml:space="preserve">Số lượng cần thêm</t>
  </si>
  <si>
    <t xml:space="preserve">NOTE</t>
  </si>
  <si>
    <t xml:space="preserve">VD</t>
  </si>
  <si>
    <t xml:space="preserve">Số lượng dùng</t>
  </si>
  <si>
    <t xml:space="preserve">Số lượng máy</t>
  </si>
  <si>
    <t xml:space="preserve">Tồng cần</t>
  </si>
  <si>
    <t xml:space="preserve">Đang có</t>
  </si>
  <si>
    <t xml:space="preserve">Cần thêm</t>
  </si>
  <si>
    <t xml:space="preserve">Có thời điểm sẽ dùng 5 số 1</t>
  </si>
  <si>
    <t xml:space="preserve">Có thời điểm sẽ dùng 4 số 2</t>
  </si>
  <si>
    <t xml:space="preserve">Có thời điểm sẽ dùng 4 số 3</t>
  </si>
  <si>
    <t xml:space="preserve">6,9</t>
  </si>
  <si>
    <t xml:space="preserve">Operation Bluey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</si>
</sst>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32"/>
      <name val="Times New Roman"/>
      <family val="1"/>
      <charset val="1"/>
    </font>
    <font>
      <b val="true"/>
      <sz val="15"/>
      <name val="Times New Roman"/>
      <family val="1"/>
      <charset val="1"/>
    </font>
    <font>
      <sz val="15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21.14"/>
    <col collapsed="false" customWidth="true" hidden="false" outlineLevel="0" max="4" min="2" style="1" width="37.68"/>
    <col collapsed="false" customWidth="false" hidden="false" outlineLevel="0" max="1020" min="5" style="1" width="11.57"/>
  </cols>
  <sheetData>
    <row r="1" customFormat="false" ht="12.75" hidden="false" customHeight="true" outlineLevel="0" collapsed="false">
      <c r="A1" s="2"/>
      <c r="B1" s="2"/>
      <c r="C1" s="2"/>
      <c r="D1" s="2"/>
    </row>
    <row r="2" customFormat="false" ht="12.8" hidden="false" customHeight="false" outlineLevel="0" collapsed="false">
      <c r="A2" s="2"/>
      <c r="B2" s="2"/>
      <c r="C2" s="2"/>
      <c r="D2" s="2"/>
    </row>
    <row r="3" customFormat="false" ht="12.8" hidden="false" customHeight="false" outlineLevel="0" collapsed="false">
      <c r="A3" s="2"/>
      <c r="B3" s="2"/>
      <c r="C3" s="2"/>
      <c r="D3" s="2"/>
    </row>
    <row r="4" customFormat="false" ht="50.7" hidden="false" customHeight="false" outlineLevel="0" collapsed="false">
      <c r="A4" s="3" t="s">
        <v>0</v>
      </c>
      <c r="B4" s="3" t="s">
        <v>1</v>
      </c>
      <c r="C4" s="3" t="s">
        <v>2</v>
      </c>
      <c r="D4" s="3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customFormat="false" ht="25.5" hidden="false" customHeight="true" outlineLevel="0" collapsed="false">
      <c r="A5" s="4" t="n">
        <v>0</v>
      </c>
      <c r="B5" s="4" t="n">
        <v>13</v>
      </c>
      <c r="C5" s="4" t="n">
        <v>7</v>
      </c>
      <c r="D5" s="4"/>
      <c r="F5" s="1" t="n">
        <v>60011</v>
      </c>
      <c r="G5" s="1" t="n">
        <v>2</v>
      </c>
      <c r="H5" s="1" t="n">
        <v>7</v>
      </c>
      <c r="I5" s="1" t="n">
        <f aca="false">G5*H5</f>
        <v>14</v>
      </c>
      <c r="J5" s="1" t="n">
        <f aca="false">B5</f>
        <v>13</v>
      </c>
      <c r="K5" s="1" t="n">
        <f aca="false">J5-I5</f>
        <v>-1</v>
      </c>
    </row>
    <row r="6" customFormat="false" ht="24.85" hidden="false" customHeight="true" outlineLevel="0" collapsed="false">
      <c r="A6" s="4" t="n">
        <v>1</v>
      </c>
      <c r="B6" s="4" t="n">
        <v>26</v>
      </c>
      <c r="C6" s="4" t="n">
        <v>14</v>
      </c>
      <c r="D6" s="4" t="s">
        <v>10</v>
      </c>
      <c r="F6" s="1" t="n">
        <v>61111</v>
      </c>
      <c r="G6" s="1" t="n">
        <v>4</v>
      </c>
      <c r="H6" s="1" t="n">
        <v>8</v>
      </c>
      <c r="I6" s="1" t="n">
        <f aca="false">G6*H6</f>
        <v>32</v>
      </c>
      <c r="J6" s="1" t="n">
        <f aca="false">B6</f>
        <v>26</v>
      </c>
      <c r="K6" s="1" t="n">
        <f aca="false">J6-I6</f>
        <v>-6</v>
      </c>
    </row>
    <row r="7" customFormat="false" ht="24.85" hidden="false" customHeight="true" outlineLevel="0" collapsed="false">
      <c r="A7" s="4" t="n">
        <v>2</v>
      </c>
      <c r="B7" s="4" t="n">
        <v>15</v>
      </c>
      <c r="C7" s="4" t="n">
        <v>15</v>
      </c>
      <c r="D7" s="4" t="s">
        <v>11</v>
      </c>
      <c r="F7" s="1" t="n">
        <v>62221</v>
      </c>
      <c r="G7" s="1" t="n">
        <v>3</v>
      </c>
      <c r="H7" s="1" t="n">
        <v>8</v>
      </c>
      <c r="I7" s="1" t="n">
        <f aca="false">G7*H7</f>
        <v>24</v>
      </c>
      <c r="J7" s="1" t="n">
        <f aca="false">B7</f>
        <v>15</v>
      </c>
      <c r="K7" s="1" t="n">
        <f aca="false">J7-I7</f>
        <v>-9</v>
      </c>
    </row>
    <row r="8" customFormat="false" ht="24.85" hidden="false" customHeight="true" outlineLevel="0" collapsed="false">
      <c r="A8" s="4" t="n">
        <v>3</v>
      </c>
      <c r="B8" s="4" t="n">
        <v>19</v>
      </c>
      <c r="C8" s="4" t="n">
        <v>11</v>
      </c>
      <c r="D8" s="4" t="s">
        <v>12</v>
      </c>
      <c r="F8" s="1" t="n">
        <v>63331</v>
      </c>
      <c r="G8" s="1" t="n">
        <v>3</v>
      </c>
      <c r="H8" s="1" t="n">
        <v>8</v>
      </c>
      <c r="I8" s="1" t="n">
        <f aca="false">G8*H8</f>
        <v>24</v>
      </c>
      <c r="J8" s="1" t="n">
        <f aca="false">B8</f>
        <v>19</v>
      </c>
      <c r="K8" s="1" t="n">
        <f aca="false">J8-I8</f>
        <v>-5</v>
      </c>
    </row>
    <row r="9" customFormat="false" ht="24.85" hidden="false" customHeight="true" outlineLevel="0" collapsed="false">
      <c r="A9" s="4" t="n">
        <v>4</v>
      </c>
      <c r="B9" s="4" t="n">
        <v>18</v>
      </c>
      <c r="C9" s="4" t="n">
        <v>12</v>
      </c>
      <c r="D9" s="4"/>
      <c r="F9" s="1" t="n">
        <v>62441</v>
      </c>
      <c r="G9" s="1" t="n">
        <v>2</v>
      </c>
      <c r="H9" s="1" t="n">
        <v>8</v>
      </c>
      <c r="I9" s="1" t="n">
        <f aca="false">G9*H9</f>
        <v>16</v>
      </c>
      <c r="J9" s="1" t="n">
        <f aca="false">B9</f>
        <v>18</v>
      </c>
      <c r="K9" s="1" t="n">
        <f aca="false">J9-I9</f>
        <v>2</v>
      </c>
    </row>
    <row r="10" customFormat="false" ht="24.85" hidden="false" customHeight="true" outlineLevel="0" collapsed="false">
      <c r="A10" s="4" t="n">
        <v>5</v>
      </c>
      <c r="B10" s="4" t="n">
        <v>14</v>
      </c>
      <c r="C10" s="4" t="n">
        <v>16</v>
      </c>
      <c r="D10" s="4"/>
      <c r="F10" s="1" t="n">
        <v>62551</v>
      </c>
      <c r="G10" s="1" t="n">
        <v>2</v>
      </c>
      <c r="H10" s="1" t="n">
        <v>8</v>
      </c>
      <c r="I10" s="1" t="n">
        <f aca="false">G10*H10</f>
        <v>16</v>
      </c>
      <c r="J10" s="1" t="n">
        <f aca="false">B10</f>
        <v>14</v>
      </c>
      <c r="K10" s="1" t="n">
        <f aca="false">J10-I10</f>
        <v>-2</v>
      </c>
    </row>
    <row r="11" customFormat="false" ht="24.85" hidden="false" customHeight="true" outlineLevel="0" collapsed="false">
      <c r="A11" s="4" t="s">
        <v>13</v>
      </c>
      <c r="B11" s="4" t="n">
        <v>21</v>
      </c>
      <c r="C11" s="4" t="n">
        <v>9</v>
      </c>
      <c r="D11" s="4"/>
      <c r="F11" s="1" t="n">
        <v>62961</v>
      </c>
      <c r="G11" s="1" t="n">
        <v>3</v>
      </c>
      <c r="H11" s="1" t="n">
        <v>8</v>
      </c>
      <c r="I11" s="1" t="n">
        <f aca="false">G11*H11</f>
        <v>24</v>
      </c>
      <c r="J11" s="1" t="n">
        <f aca="false">B11</f>
        <v>21</v>
      </c>
      <c r="K11" s="1" t="n">
        <f aca="false">J11-I11</f>
        <v>-3</v>
      </c>
    </row>
    <row r="12" customFormat="false" ht="24.85" hidden="false" customHeight="true" outlineLevel="0" collapsed="false">
      <c r="A12" s="4" t="n">
        <v>7</v>
      </c>
      <c r="B12" s="4" t="n">
        <v>13</v>
      </c>
      <c r="C12" s="4" t="n">
        <v>7</v>
      </c>
      <c r="D12" s="4"/>
      <c r="F12" s="1" t="n">
        <v>70771</v>
      </c>
      <c r="G12" s="1" t="n">
        <v>3</v>
      </c>
      <c r="H12" s="1" t="n">
        <v>8</v>
      </c>
      <c r="I12" s="1" t="n">
        <f aca="false">G12*H12</f>
        <v>24</v>
      </c>
      <c r="J12" s="1" t="n">
        <f aca="false">B12</f>
        <v>13</v>
      </c>
      <c r="K12" s="1" t="n">
        <f aca="false">J12-I12</f>
        <v>-11</v>
      </c>
    </row>
    <row r="13" customFormat="false" ht="24.85" hidden="false" customHeight="true" outlineLevel="0" collapsed="false">
      <c r="A13" s="4" t="n">
        <v>8</v>
      </c>
      <c r="B13" s="4" t="n">
        <v>16</v>
      </c>
      <c r="C13" s="4" t="n">
        <v>4</v>
      </c>
      <c r="D13" s="4"/>
      <c r="F13" s="1" t="n">
        <v>80881</v>
      </c>
      <c r="G13" s="1" t="n">
        <v>3</v>
      </c>
      <c r="H13" s="1" t="n">
        <v>8</v>
      </c>
      <c r="I13" s="1" t="n">
        <f aca="false">G13*H13</f>
        <v>24</v>
      </c>
      <c r="J13" s="1" t="n">
        <f aca="false">B13</f>
        <v>16</v>
      </c>
      <c r="K13" s="1" t="n">
        <f aca="false">J13-I13</f>
        <v>-8</v>
      </c>
    </row>
    <row r="228" customFormat="false" ht="28.35" hidden="false" customHeight="true" outlineLevel="0" collapsed="false">
      <c r="A228" s="5" t="s">
        <v>14</v>
      </c>
      <c r="B228" s="5" t="n">
        <v>1</v>
      </c>
      <c r="C228" s="5"/>
      <c r="D228" s="5" t="n">
        <v>1</v>
      </c>
    </row>
  </sheetData>
  <autoFilter ref="A4:D4"/>
  <mergeCells count="1">
    <mergeCell ref="A1:D3"/>
  </mergeCells>
  <printOptions headings="false" gridLines="false" gridLinesSet="true" horizontalCentered="true" verticalCentered="true"/>
  <pageMargins left="0.2" right="0.2" top="0.2" bottom="0.2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2025-02-25T16:03:21Z</dcterms:created>
  <dc:creator/>
  <dc:description/>
  <dc:language>en-US</dc:language>
  <cp:lastModifiedBy/>
  <dcterms:modified xsi:type="dcterms:W3CDTF">2026-10-24T09:19:36Z</dcterms:modified>
  <cp:revision>184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