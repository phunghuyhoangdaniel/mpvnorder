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8- PO- CÔNG NỢ PHẢI THU KHÁCH HÀNG\A CÔNG NỢ PHẢI THU 对账单(客户\Bảng kê công nợ\MOONPO\"/>
    </mc:Choice>
  </mc:AlternateContent>
  <bookViews>
    <workbookView xWindow="0" yWindow="0" windowWidth="28770" windowHeight="12300"/>
  </bookViews>
  <sheets>
    <sheet name="普为 " sheetId="1" r:id="rId1"/>
  </sheets>
  <definedNames>
    <definedName name="_xlnm._FilterDatabase" localSheetId="0" hidden="1">'普为 '!$A$8:$M$10</definedName>
    <definedName name="_xlnm.Print_Area" localSheetId="0">'普为 '!$A$1:$M$13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9" i="1" l="1"/>
  <c r="J10" i="1"/>
  <c r="J11" i="1" l="1"/>
  <c r="H11" i="1"/>
  <c r="A10" i="1"/>
  <c r="L10" i="1" l="1"/>
  <c r="L9" i="1" l="1"/>
  <c r="L11" i="1" s="1"/>
</calcChain>
</file>

<file path=xl/sharedStrings.xml><?xml version="1.0" encoding="utf-8"?>
<sst xmlns="http://schemas.openxmlformats.org/spreadsheetml/2006/main" count="36" uniqueCount="34">
  <si>
    <t>CÔNG TY TNHH CÔNG NGHỆ ĐIỆN TỬ GUANGKE VIỆT NAM
越南光科电子科技有限公司</t>
  </si>
  <si>
    <t xml:space="preserve">SĐT电话: 0356716866  </t>
  </si>
  <si>
    <t>MST税号:  2301250455</t>
  </si>
  <si>
    <t>STT</t>
  </si>
  <si>
    <t>日期
Ngày GH</t>
  </si>
  <si>
    <t>品名
Tên hàng hóa</t>
  </si>
  <si>
    <t>规格
Quy cách</t>
  </si>
  <si>
    <t>单位
ĐVT</t>
  </si>
  <si>
    <t>数量
Số lượng</t>
  </si>
  <si>
    <t>单价
Đơn giá</t>
  </si>
  <si>
    <t>合計
Thành tiền</t>
  </si>
  <si>
    <t>税
VAT</t>
  </si>
  <si>
    <t>总金额
Tổng thanh toán</t>
  </si>
  <si>
    <t>Tổng 总</t>
  </si>
  <si>
    <t>Mã PGH</t>
  </si>
  <si>
    <t>Mã liệu</t>
  </si>
  <si>
    <t>PO</t>
  </si>
  <si>
    <t>CÔNG TY TNHH CÔNG NGHỆ ĐIỆN TỬ GUANGKE VIỆT NAM</t>
  </si>
  <si>
    <t xml:space="preserve">Cái </t>
  </si>
  <si>
    <t xml:space="preserve">XÁC NHẬN CỦA KHÁCH HÀNG </t>
  </si>
  <si>
    <t>BẢNG CHI TIẾT CÔNG NỢ -  T08.2026</t>
  </si>
  <si>
    <t>Tên khách hàng : CÔNG TY TNHH MOONPO DEVELOPMENT VN</t>
  </si>
  <si>
    <t>Địa chỉ: Lô CN-01, Khu công nghiệp Đồng Văn IV, Phường Lê Hồ, Tỉnh Ninh Bình, Việt Nam</t>
  </si>
  <si>
    <t>MST:  0700834811</t>
  </si>
  <si>
    <t>2026-08-05</t>
  </si>
  <si>
    <t>2026080013</t>
  </si>
  <si>
    <t>2026-08-15</t>
  </si>
  <si>
    <t>2026080043</t>
  </si>
  <si>
    <t>B590-P1F0085919D0Y-P1F0079967D0N 过炉治具</t>
  </si>
  <si>
    <t>540*300*6M合成石290*10*10M合成石*2520*30*10M合成石*2</t>
  </si>
  <si>
    <t>MSK-3P88 36P MID VO6 过炉治具</t>
  </si>
  <si>
    <t>260968-1115</t>
  </si>
  <si>
    <t>261022-1115</t>
  </si>
  <si>
    <t>Cụm công nghiệp Hạp Lĩnh, Phường Hạp Lĩnh, Tỉnh Bắc Ninh, VN 
越南，北宁省，和领坊，和领工业集群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</si>
</sst>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_);_(@_)"/>
    <numFmt numFmtId="166" formatCode="[$-1010000]yyyy/mm/dd;@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63"/>
      <scheme val="minor"/>
    </font>
    <font>
      <b/>
      <sz val="12"/>
      <color rgb="FF000000"/>
      <name val="Calibri"/>
      <family val="2"/>
      <charset val="163"/>
      <scheme val="minor"/>
    </font>
    <font>
      <b/>
      <sz val="11"/>
      <color rgb="FF000000"/>
      <name val="Calibri"/>
      <family val="2"/>
      <charset val="163"/>
      <scheme val="minor"/>
    </font>
    <font>
      <b/>
      <sz val="14"/>
      <color theme="1"/>
      <name val="Calibri"/>
      <family val="2"/>
      <charset val="163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</borders>
  <cellStyleXfs count="2">
    <xf numFmtId="166" fontId="0" fillId="0" borderId="0"/>
    <xf numFmtId="43" fontId="2" fillId="0" borderId="0" applyFont="0" applyFill="0" applyBorder="0" applyAlignment="0" applyProtection="0"/>
  </cellStyleXfs>
  <cellXfs count="45">
    <xf numFmtId="166" fontId="0" fillId="0" borderId="0" xfId="0"/>
    <xf numFmtId="166" fontId="4" fillId="0" borderId="0" xfId="0" applyFont="1" applyAlignment="1">
      <alignment vertical="center" wrapText="1"/>
    </xf>
    <xf numFmtId="166" fontId="5" fillId="0" borderId="0" xfId="0" applyFont="1" applyAlignment="1">
      <alignment horizontal="center" vertical="center" wrapText="1"/>
    </xf>
    <xf numFmtId="166" fontId="3" fillId="0" borderId="0" xfId="0" applyFont="1" applyAlignment="1">
      <alignment horizontal="center" vertical="center" wrapText="1"/>
    </xf>
    <xf numFmtId="166" fontId="1" fillId="0" borderId="0" xfId="0" applyFont="1"/>
    <xf numFmtId="166" fontId="1" fillId="0" borderId="1" xfId="0" applyFont="1" applyBorder="1" applyAlignment="1">
      <alignment horizontal="center" vertical="center" wrapText="1"/>
    </xf>
    <xf numFmtId="166" fontId="0" fillId="0" borderId="1" xfId="0" applyBorder="1" applyAlignment="1">
      <alignment vertical="center"/>
    </xf>
    <xf numFmtId="166" fontId="0" fillId="0" borderId="1" xfId="0" applyBorder="1" applyAlignment="1">
      <alignment vertical="center" wrapText="1"/>
    </xf>
    <xf numFmtId="164" fontId="0" fillId="0" borderId="1" xfId="1" applyNumberFormat="1" applyFont="1" applyBorder="1" applyAlignment="1">
      <alignment vertical="center"/>
    </xf>
    <xf numFmtId="9" fontId="0" fillId="0" borderId="1" xfId="0" applyNumberFormat="1" applyBorder="1" applyAlignment="1">
      <alignment vertical="center"/>
    </xf>
    <xf numFmtId="166" fontId="1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166" fontId="0" fillId="0" borderId="0" xfId="0" applyAlignment="1">
      <alignment vertical="center"/>
    </xf>
    <xf numFmtId="165" fontId="0" fillId="0" borderId="0" xfId="0" applyNumberFormat="1" applyAlignment="1">
      <alignment vertical="center"/>
    </xf>
    <xf numFmtId="166" fontId="0" fillId="0" borderId="0" xfId="0" applyNumberFormat="1"/>
    <xf numFmtId="166" fontId="1" fillId="0" borderId="1" xfId="0" applyNumberFormat="1" applyFont="1" applyBorder="1" applyAlignment="1">
      <alignment horizontal="center" vertical="center" wrapText="1"/>
    </xf>
    <xf numFmtId="166" fontId="0" fillId="0" borderId="1" xfId="0" applyNumberFormat="1" applyBorder="1" applyAlignment="1">
      <alignment vertical="center"/>
    </xf>
    <xf numFmtId="166" fontId="0" fillId="0" borderId="0" xfId="0" applyNumberFormat="1" applyAlignment="1">
      <alignment vertical="center"/>
    </xf>
    <xf numFmtId="49" fontId="0" fillId="0" borderId="0" xfId="0" applyNumberFormat="1"/>
    <xf numFmtId="49" fontId="5" fillId="0" borderId="0" xfId="0" applyNumberFormat="1" applyFont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vertical="center" wrapText="1"/>
    </xf>
    <xf numFmtId="49" fontId="0" fillId="0" borderId="0" xfId="0" applyNumberFormat="1" applyAlignment="1">
      <alignment vertical="center"/>
    </xf>
    <xf numFmtId="0" fontId="0" fillId="0" borderId="0" xfId="0" applyNumberFormat="1"/>
    <xf numFmtId="0" fontId="1" fillId="0" borderId="1" xfId="0" applyNumberFormat="1" applyFon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0" xfId="0" applyNumberFormat="1" applyAlignment="1">
      <alignment vertical="center"/>
    </xf>
    <xf numFmtId="0" fontId="1" fillId="0" borderId="1" xfId="0" applyNumberFormat="1" applyFont="1" applyBorder="1" applyAlignment="1">
      <alignment vertical="center"/>
    </xf>
    <xf numFmtId="43" fontId="0" fillId="0" borderId="0" xfId="1" applyFont="1" applyAlignment="1">
      <alignment vertical="center"/>
    </xf>
    <xf numFmtId="164" fontId="0" fillId="0" borderId="0" xfId="1" applyNumberFormat="1" applyFont="1" applyAlignment="1">
      <alignment vertical="center"/>
    </xf>
    <xf numFmtId="164" fontId="0" fillId="0" borderId="0" xfId="1" applyNumberFormat="1" applyFont="1"/>
    <xf numFmtId="166" fontId="0" fillId="0" borderId="1" xfId="0" applyBorder="1" applyAlignment="1">
      <alignment horizontal="center" vertical="center"/>
    </xf>
    <xf numFmtId="49" fontId="0" fillId="0" borderId="1" xfId="0" quotePrefix="1" applyNumberFormat="1" applyBorder="1" applyAlignment="1">
      <alignment vertical="center" wrapText="1"/>
    </xf>
    <xf numFmtId="166" fontId="7" fillId="0" borderId="0" xfId="0" applyFont="1" applyAlignment="1">
      <alignment horizontal="center" vertical="center"/>
    </xf>
    <xf numFmtId="166" fontId="7" fillId="0" borderId="0" xfId="0" applyNumberFormat="1" applyFont="1" applyAlignment="1">
      <alignment horizontal="center" vertical="center"/>
    </xf>
    <xf numFmtId="166" fontId="1" fillId="0" borderId="2" xfId="0" applyFont="1" applyBorder="1" applyAlignment="1">
      <alignment horizontal="center" vertical="center"/>
    </xf>
    <xf numFmtId="166" fontId="1" fillId="0" borderId="3" xfId="0" applyFont="1" applyBorder="1" applyAlignment="1">
      <alignment horizontal="center" vertical="center"/>
    </xf>
    <xf numFmtId="166" fontId="1" fillId="0" borderId="4" xfId="0" applyFont="1" applyBorder="1" applyAlignment="1">
      <alignment horizontal="center" vertical="center"/>
    </xf>
    <xf numFmtId="166" fontId="3" fillId="0" borderId="0" xfId="0" applyFont="1" applyAlignment="1">
      <alignment horizontal="left" vertical="center" wrapText="1"/>
    </xf>
    <xf numFmtId="166" fontId="3" fillId="0" borderId="0" xfId="0" applyFont="1" applyAlignment="1">
      <alignment horizontal="center" vertical="center" wrapText="1"/>
    </xf>
    <xf numFmtId="166" fontId="6" fillId="0" borderId="0" xfId="0" applyFont="1" applyAlignment="1">
      <alignment horizontal="center" vertical="center" wrapText="1"/>
    </xf>
    <xf numFmtId="166" fontId="6" fillId="0" borderId="0" xfId="0" applyFont="1" applyAlignment="1">
      <alignment horizontal="center" vertical="center"/>
    </xf>
    <xf numFmtId="166" fontId="8" fillId="0" borderId="0" xfId="0" applyFont="1" applyAlignment="1">
      <alignment horizontal="left" vertical="center" wrapText="1"/>
    </xf>
    <xf numFmtId="166" fontId="8" fillId="0" borderId="0" xfId="0" applyFont="1" applyBorder="1" applyAlignment="1">
      <alignment horizontal="left" vertical="center" wrapText="1"/>
    </xf>
    <xf numFmtId="166" fontId="8" fillId="0" borderId="5" xfId="0" applyFont="1" applyBorder="1" applyAlignment="1">
      <alignment horizontal="left" vertical="center" wrapText="1"/>
    </xf>
  </cellXfs>
  <cellStyles count="2">
    <cellStyle name="Comma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916341</xdr:colOff>
      <xdr:row>2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3ED03D-8A3C-49E8-A535-CC29D5BCB3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050" y="0"/>
          <a:ext cx="2040291" cy="1231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3"/>
  <sheetViews>
    <sheetView tabSelected="1" zoomScaleNormal="100" workbookViewId="0">
      <selection activeCell="K9" sqref="K9"/>
    </sheetView>
  </sheetViews>
  <sheetFormatPr defaultRowHeight="15" x14ac:dyDescent="0.25"/>
  <cols>
    <col min="1" max="1" width="4.28515625" style="23" customWidth="1"/>
    <col min="2" max="2" width="12.5703125" style="14" customWidth="1"/>
    <col min="3" max="3" width="16.85546875" customWidth="1"/>
    <col min="4" max="4" width="16.85546875" hidden="1" customWidth="1"/>
    <col min="5" max="5" width="34.140625" style="18" customWidth="1"/>
    <col min="6" max="6" width="31.28515625" customWidth="1"/>
    <col min="7" max="7" width="9.85546875" customWidth="1"/>
    <col min="8" max="8" width="15.28515625" customWidth="1"/>
    <col min="9" max="9" width="19.5703125" customWidth="1"/>
    <col min="10" max="10" width="14.5703125" customWidth="1"/>
    <col min="11" max="11" width="11.85546875" customWidth="1"/>
    <col min="12" max="12" width="15" customWidth="1"/>
    <col min="13" max="13" width="17.28515625" customWidth="1"/>
  </cols>
  <sheetData>
    <row r="1" spans="1:13" ht="38.25" customHeight="1" x14ac:dyDescent="0.25">
      <c r="F1" s="38" t="s">
        <v>0</v>
      </c>
      <c r="G1" s="38"/>
      <c r="H1" s="38"/>
      <c r="I1" s="38"/>
      <c r="J1" s="38"/>
      <c r="K1" s="1"/>
      <c r="L1" s="1"/>
    </row>
    <row r="2" spans="1:13" ht="47.25" customHeight="1" x14ac:dyDescent="0.25">
      <c r="F2" s="38" t="s">
        <v>33</v>
      </c>
      <c r="G2" s="38"/>
      <c r="H2" s="38"/>
      <c r="I2" s="38"/>
      <c r="J2" s="38"/>
      <c r="K2" s="1"/>
      <c r="L2" s="1"/>
    </row>
    <row r="3" spans="1:13" ht="27" customHeight="1" x14ac:dyDescent="0.25">
      <c r="E3" s="19"/>
      <c r="F3" s="38" t="s">
        <v>1</v>
      </c>
      <c r="G3" s="38"/>
      <c r="H3" s="3"/>
      <c r="I3" s="39" t="s">
        <v>2</v>
      </c>
      <c r="J3" s="39"/>
      <c r="K3" s="2"/>
      <c r="L3" s="2"/>
    </row>
    <row r="4" spans="1:13" ht="36.75" customHeight="1" x14ac:dyDescent="0.25">
      <c r="A4" s="40" t="s">
        <v>20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</row>
    <row r="5" spans="1:13" ht="25.5" customHeight="1" x14ac:dyDescent="0.25">
      <c r="A5" s="42" t="s">
        <v>21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</row>
    <row r="6" spans="1:13" ht="25.5" customHeight="1" x14ac:dyDescent="0.25">
      <c r="A6" s="43" t="s">
        <v>22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</row>
    <row r="7" spans="1:13" ht="25.5" customHeight="1" x14ac:dyDescent="0.25">
      <c r="A7" s="44" t="s">
        <v>23</v>
      </c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</row>
    <row r="8" spans="1:13" s="4" customFormat="1" ht="53.25" customHeight="1" x14ac:dyDescent="0.25">
      <c r="A8" s="24" t="s">
        <v>3</v>
      </c>
      <c r="B8" s="15" t="s">
        <v>4</v>
      </c>
      <c r="C8" s="5" t="s">
        <v>14</v>
      </c>
      <c r="D8" s="5" t="s">
        <v>15</v>
      </c>
      <c r="E8" s="20" t="s">
        <v>5</v>
      </c>
      <c r="F8" s="5" t="s">
        <v>6</v>
      </c>
      <c r="G8" s="5" t="s">
        <v>7</v>
      </c>
      <c r="H8" s="5" t="s">
        <v>8</v>
      </c>
      <c r="I8" s="5" t="s">
        <v>9</v>
      </c>
      <c r="J8" s="5" t="s">
        <v>10</v>
      </c>
      <c r="K8" s="5" t="s">
        <v>11</v>
      </c>
      <c r="L8" s="5" t="s">
        <v>12</v>
      </c>
      <c r="M8" s="5" t="s">
        <v>16</v>
      </c>
    </row>
    <row r="9" spans="1:13" ht="65.25" customHeight="1" x14ac:dyDescent="0.25">
      <c r="A9" s="25">
        <v>1</v>
      </c>
      <c r="B9" s="16" t="s">
        <v>24</v>
      </c>
      <c r="C9" s="6" t="s">
        <v>25</v>
      </c>
      <c r="D9" s="21"/>
      <c r="E9" s="7" t="s">
        <v>28</v>
      </c>
      <c r="F9" s="7" t="s">
        <v>29</v>
      </c>
      <c r="G9" s="31" t="s">
        <v>18</v>
      </c>
      <c r="H9" s="8">
        <v>1</v>
      </c>
      <c r="I9" s="8">
        <v>1900000</v>
      </c>
      <c r="J9" s="8">
        <f>H9*I9</f>
        <v>1900000</v>
      </c>
      <c r="K9" s="9">
        <v>0</v>
      </c>
      <c r="L9" s="8">
        <f>J9*(K9+100%)</f>
        <v>1900000</v>
      </c>
      <c r="M9" s="6" t="s">
        <v>31</v>
      </c>
    </row>
    <row r="10" spans="1:13" ht="50.25" customHeight="1" x14ac:dyDescent="0.25">
      <c r="A10" s="25">
        <f>+A9+1</f>
        <v>2</v>
      </c>
      <c r="B10" s="16" t="s">
        <v>26</v>
      </c>
      <c r="C10" s="6" t="s">
        <v>27</v>
      </c>
      <c r="D10" s="32"/>
      <c r="E10" s="7" t="s">
        <v>30</v>
      </c>
      <c r="F10" s="7" t="s">
        <v>29</v>
      </c>
      <c r="G10" s="31" t="s">
        <v>18</v>
      </c>
      <c r="H10" s="8">
        <v>7</v>
      </c>
      <c r="I10" s="8">
        <v>1900000</v>
      </c>
      <c r="J10" s="8">
        <f t="shared" ref="J10" si="0">H10*I10</f>
        <v>13300000</v>
      </c>
      <c r="K10" s="9">
        <v>0</v>
      </c>
      <c r="L10" s="8">
        <f t="shared" ref="L10" si="1">J10*(K10+100%)</f>
        <v>13300000</v>
      </c>
      <c r="M10" s="6" t="s">
        <v>32</v>
      </c>
    </row>
    <row r="11" spans="1:13" ht="27.75" customHeight="1" x14ac:dyDescent="0.25">
      <c r="A11" s="35" t="s">
        <v>13</v>
      </c>
      <c r="B11" s="36"/>
      <c r="C11" s="36"/>
      <c r="D11" s="36"/>
      <c r="E11" s="36"/>
      <c r="F11" s="36"/>
      <c r="G11" s="37"/>
      <c r="H11" s="27">
        <f>SUBTOTAL(109,H9:H10)</f>
        <v>8</v>
      </c>
      <c r="I11" s="10"/>
      <c r="J11" s="11">
        <f>SUBTOTAL(109,J9:J10)</f>
        <v>15200000</v>
      </c>
      <c r="K11" s="10"/>
      <c r="L11" s="11">
        <f>SUBTOTAL(109,L9:L10)</f>
        <v>15200000</v>
      </c>
      <c r="M11" s="10"/>
    </row>
    <row r="12" spans="1:13" x14ac:dyDescent="0.25">
      <c r="A12" s="26"/>
      <c r="B12" s="17"/>
      <c r="C12" s="12"/>
      <c r="D12" s="12"/>
      <c r="E12" s="22"/>
      <c r="F12" s="12"/>
      <c r="G12" s="12"/>
      <c r="H12" s="12"/>
      <c r="I12" s="12"/>
      <c r="J12" s="12"/>
      <c r="K12" s="12"/>
      <c r="L12" s="12"/>
      <c r="M12" s="12"/>
    </row>
    <row r="13" spans="1:13" ht="25.5" customHeight="1" x14ac:dyDescent="0.25">
      <c r="A13" s="26"/>
      <c r="B13" s="34" t="s">
        <v>19</v>
      </c>
      <c r="C13" s="34"/>
      <c r="D13" s="34"/>
      <c r="E13" s="34"/>
      <c r="F13" s="12"/>
      <c r="G13" s="12"/>
      <c r="H13" s="33" t="s">
        <v>17</v>
      </c>
      <c r="I13" s="33"/>
      <c r="J13" s="33"/>
      <c r="K13" s="33"/>
      <c r="L13" s="33"/>
      <c r="M13" s="33"/>
    </row>
    <row r="14" spans="1:13" x14ac:dyDescent="0.25">
      <c r="A14" s="26"/>
      <c r="B14" s="17"/>
      <c r="C14" s="12"/>
      <c r="D14" s="12"/>
      <c r="E14" s="22"/>
      <c r="F14" s="12"/>
      <c r="G14" s="12"/>
      <c r="H14" s="12"/>
      <c r="I14" s="12"/>
      <c r="J14" s="12"/>
      <c r="K14" s="12"/>
      <c r="L14" s="29"/>
      <c r="M14" s="12"/>
    </row>
    <row r="15" spans="1:13" x14ac:dyDescent="0.25">
      <c r="A15" s="26"/>
      <c r="B15" s="17"/>
      <c r="C15" s="12"/>
      <c r="D15" s="12"/>
      <c r="E15" s="22"/>
      <c r="F15" s="12"/>
      <c r="G15" s="12"/>
      <c r="H15" s="12"/>
      <c r="I15" s="12"/>
      <c r="J15" s="12"/>
      <c r="K15" s="12"/>
      <c r="L15" s="28"/>
      <c r="M15" s="12"/>
    </row>
    <row r="16" spans="1:13" x14ac:dyDescent="0.25">
      <c r="A16" s="26"/>
      <c r="B16" s="17"/>
      <c r="C16" s="12"/>
      <c r="D16" s="12"/>
      <c r="E16" s="22"/>
      <c r="F16" s="12"/>
      <c r="G16" s="12"/>
      <c r="H16" s="12"/>
      <c r="I16" s="12"/>
      <c r="J16" s="13"/>
      <c r="K16" s="12"/>
      <c r="L16" s="29"/>
      <c r="M16" s="12"/>
    </row>
    <row r="17" spans="1:13" x14ac:dyDescent="0.25">
      <c r="A17" s="26"/>
      <c r="B17" s="17"/>
      <c r="C17" s="12"/>
      <c r="D17" s="12"/>
      <c r="E17" s="22"/>
      <c r="F17" s="12"/>
      <c r="G17" s="12"/>
      <c r="H17" s="12"/>
      <c r="I17" s="12"/>
      <c r="J17" s="12"/>
      <c r="K17" s="12"/>
      <c r="L17" s="29"/>
      <c r="M17" s="12"/>
    </row>
    <row r="18" spans="1:13" x14ac:dyDescent="0.25">
      <c r="A18" s="26"/>
      <c r="B18" s="17"/>
      <c r="C18" s="12"/>
      <c r="D18" s="12"/>
      <c r="E18" s="22"/>
      <c r="F18" s="12"/>
      <c r="G18" s="12"/>
      <c r="H18" s="12"/>
      <c r="I18" s="12"/>
      <c r="J18" s="12"/>
      <c r="K18" s="12"/>
      <c r="L18" s="29"/>
      <c r="M18" s="12"/>
    </row>
    <row r="19" spans="1:13" x14ac:dyDescent="0.25">
      <c r="L19" s="30"/>
    </row>
    <row r="20" spans="1:13" x14ac:dyDescent="0.25">
      <c r="L20" s="30"/>
    </row>
    <row r="21" spans="1:13" x14ac:dyDescent="0.25">
      <c r="L21" s="30"/>
    </row>
    <row r="22" spans="1:13" x14ac:dyDescent="0.25">
      <c r="L22" s="30"/>
    </row>
    <row r="23" spans="1:13" x14ac:dyDescent="0.25">
      <c r="L23" s="30"/>
    </row>
  </sheetData>
  <mergeCells count="11">
    <mergeCell ref="H13:M13"/>
    <mergeCell ref="B13:E13"/>
    <mergeCell ref="A11:G11"/>
    <mergeCell ref="F1:J1"/>
    <mergeCell ref="F2:J2"/>
    <mergeCell ref="F3:G3"/>
    <mergeCell ref="I3:J3"/>
    <mergeCell ref="A4:M4"/>
    <mergeCell ref="A5:M5"/>
    <mergeCell ref="A6:M6"/>
    <mergeCell ref="A7:M7"/>
  </mergeCells>
  <conditionalFormatting sqref="E9:E10">
    <cfRule type="duplicateValues" dxfId="0" priority="8"/>
  </conditionalFormatting>
  <pageMargins left="0.39370078740157483" right="0.19685039370078741" top="0.23622047244094491" bottom="0.23622047244094491" header="0.31496062992125984" footer="0.31496062992125984"/>
  <pageSetup paperSize="9" scale="71" fitToHeight="0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普为 </vt:lpstr>
      <vt:lpstr>'普为 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2026-01-09T04:23:13Z</cp:lastPrinted>
  <dcterms:created xsi:type="dcterms:W3CDTF">2023-11-24T08:47:36Z</dcterms:created>
  <dcterms:modified xsi:type="dcterms:W3CDTF">2026-08-25T03:44:49Z</dcterms:modified>
</cp:coreProperties>
</file>