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<sst xmlns="http://schemas.openxmlformats.org/spreadsheetml/2006/main" count="36" uniqueCount="18">
  <si>
    <t xml:space="preserve">No.</t>
  </si>
  <si>
    <t xml:space="preserve">Item Description</t>
  </si>
  <si>
    <t xml:space="preserve">Qty</t>
  </si>
  <si>
    <t xml:space="preserve">Unit Price (VND)</t>
  </si>
  <si>
    <t xml:space="preserve">Total Amount (VND)</t>
  </si>
  <si>
    <t xml:space="preserve">4mm Female Banana Jack Socket, Long 15mm, Black Color, Brass Terminal</t>
  </si>
  <si>
    <t xml:space="preserve">30 Pcs</t>
  </si>
  <si>
    <t xml:space="preserve">4mm Male Banana Plug, Long 41mm, Black Color V2</t>
  </si>
  <si>
    <t xml:space="preserve">50 Pcs</t>
  </si>
  <si>
    <t xml:space="preserve">4mm Male Banana Plug, Long 41mm, Red Color V2</t>
  </si>
  <si>
    <t xml:space="preserve">JS-910B 4mm Female Banana Jack Binding Post, Long 33mm, Red Color</t>
  </si>
  <si>
    <t xml:space="preserve">40 Pcs</t>
  </si>
  <si>
    <t xml:space="preserve">Vinasemi-2000D Handheld Heat Gun with LCD Temperature Display (60~600°C, 220VAC, 2000W)</t>
  </si>
  <si>
    <t xml:space="preserve">4 Pcs</t>
  </si>
  <si>
    <t xml:space="preserve">Multimeter Test Leads CAT III 1000V 20A, Length 1.1m</t>
  </si>
  <si>
    <t xml:space="preserve">10 Pairs (Red, Black)</t>
  </si>
  <si>
    <t xml:space="preserve">ID</t>
  </si>
  <si>
    <t xml:space="preserve">VAT 8% and shipping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</si>
</sst>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%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name val="Arial"/>
      <family val="2"/>
      <charset val="1"/>
    </font>
    <font>
      <sz val="16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5324760</xdr:colOff>
      <xdr:row>7</xdr:row>
      <xdr:rowOff>48600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8381160" cy="10663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1485360</xdr:colOff>
      <xdr:row>6</xdr:row>
      <xdr:rowOff>1515960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21608280" y="9098280"/>
          <a:ext cx="1485360" cy="15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1474920</xdr:colOff>
      <xdr:row>3</xdr:row>
      <xdr:rowOff>1515960</xdr:rowOff>
    </xdr:to>
    <xdr:pic>
      <xdr:nvPicPr>
        <xdr:cNvPr id="2" name="Image 4" descr=""/>
        <xdr:cNvPicPr/>
      </xdr:nvPicPr>
      <xdr:blipFill>
        <a:blip r:embed="rId3"/>
        <a:stretch/>
      </xdr:blipFill>
      <xdr:spPr>
        <a:xfrm>
          <a:off x="21608280" y="4549320"/>
          <a:ext cx="1474920" cy="15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1529640</xdr:colOff>
      <xdr:row>2</xdr:row>
      <xdr:rowOff>1516320</xdr:rowOff>
    </xdr:to>
    <xdr:pic>
      <xdr:nvPicPr>
        <xdr:cNvPr id="3" name="Image 5" descr=""/>
        <xdr:cNvPicPr/>
      </xdr:nvPicPr>
      <xdr:blipFill>
        <a:blip r:embed="rId4"/>
        <a:stretch/>
      </xdr:blipFill>
      <xdr:spPr>
        <a:xfrm>
          <a:off x="21608280" y="3032640"/>
          <a:ext cx="1529640" cy="1516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1444320</xdr:colOff>
      <xdr:row>1</xdr:row>
      <xdr:rowOff>1515960</xdr:rowOff>
    </xdr:to>
    <xdr:pic>
      <xdr:nvPicPr>
        <xdr:cNvPr id="4" name="Image 7" descr=""/>
        <xdr:cNvPicPr/>
      </xdr:nvPicPr>
      <xdr:blipFill>
        <a:blip r:embed="rId5"/>
        <a:stretch/>
      </xdr:blipFill>
      <xdr:spPr>
        <a:xfrm>
          <a:off x="21608280" y="1516320"/>
          <a:ext cx="1444320" cy="15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1520280</xdr:colOff>
      <xdr:row>4</xdr:row>
      <xdr:rowOff>1515960</xdr:rowOff>
    </xdr:to>
    <xdr:pic>
      <xdr:nvPicPr>
        <xdr:cNvPr id="5" name="Image 8" descr=""/>
        <xdr:cNvPicPr/>
      </xdr:nvPicPr>
      <xdr:blipFill>
        <a:blip r:embed="rId6"/>
        <a:stretch/>
      </xdr:blipFill>
      <xdr:spPr>
        <a:xfrm>
          <a:off x="21608280" y="6065640"/>
          <a:ext cx="1520280" cy="15159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1712880</xdr:colOff>
      <xdr:row>5</xdr:row>
      <xdr:rowOff>1515960</xdr:rowOff>
    </xdr:to>
    <xdr:pic>
      <xdr:nvPicPr>
        <xdr:cNvPr id="6" name="Image 6" descr=""/>
        <xdr:cNvPicPr/>
      </xdr:nvPicPr>
      <xdr:blipFill>
        <a:blip r:embed="rId7"/>
        <a:stretch/>
      </xdr:blipFill>
      <xdr:spPr>
        <a:xfrm>
          <a:off x="21608280" y="7581960"/>
          <a:ext cx="1712880" cy="151596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21960</xdr:rowOff>
    </xdr:from>
    <xdr:to>
      <xdr:col>3</xdr:col>
      <xdr:colOff>12240</xdr:colOff>
      <xdr:row>29</xdr:row>
      <xdr:rowOff>51120</xdr:rowOff>
    </xdr:to>
    <xdr:pic>
      <xdr:nvPicPr>
        <xdr:cNvPr id="7" name="Image 3" descr=""/>
        <xdr:cNvPicPr/>
      </xdr:nvPicPr>
      <xdr:blipFill>
        <a:blip r:embed="rId1"/>
        <a:stretch/>
      </xdr:blipFill>
      <xdr:spPr>
        <a:xfrm>
          <a:off x="0" y="2053440"/>
          <a:ext cx="2450520" cy="3117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G49"/>
  <sheetViews>
    <sheetView showFormulas="false" showGridLines="false" showRowColHeaders="true" showZeros="true" rightToLeft="false" tabSelected="false" showOutlineSymbols="true" defaultGridColor="true" view="normal" topLeftCell="A3" colorId="64" zoomScale="180" zoomScaleNormal="180" zoomScalePageLayoutView="200" workbookViewId="0">
      <selection pane="topLeft" activeCell="I5" activeCellId="0" sqref="I5"/>
    </sheetView>
  </sheetViews>
  <sheetFormatPr defaultColWidth="43.36328125" defaultRowHeight="29.15" zeroHeight="false" outlineLevelRow="0" outlineLevelCol="0"/>
  <cols>
    <col collapsed="false" customWidth="true" hidden="false" outlineLevel="0" max="2" min="2" style="1" width="78.65"/>
    <col collapsed="false" customWidth="true" hidden="false" outlineLevel="0" max="3" min="3" style="1" width="11.12"/>
    <col collapsed="false" customWidth="false" hidden="false" outlineLevel="0" max="7" min="4" style="2" width="43.36"/>
  </cols>
  <sheetData>
    <row r="1" customFormat="false" ht="119.4" hidden="false" customHeight="true" outlineLevel="0" collapsed="false">
      <c r="C1" s="3" t="s">
        <v>0</v>
      </c>
      <c r="D1" s="4" t="s">
        <v>1</v>
      </c>
      <c r="E1" s="4" t="s">
        <v>2</v>
      </c>
      <c r="F1" s="4" t="s">
        <v>3</v>
      </c>
      <c r="G1" s="4" t="s">
        <v>4</v>
      </c>
    </row>
    <row r="2" customFormat="false" ht="119.4" hidden="false" customHeight="true" outlineLevel="0" collapsed="false">
      <c r="C2" s="3" t="n">
        <v>1</v>
      </c>
      <c r="D2" s="4" t="s">
        <v>5</v>
      </c>
      <c r="E2" s="5" t="s">
        <v>6</v>
      </c>
      <c r="F2" s="6" t="n">
        <v>4560</v>
      </c>
      <c r="G2" s="6" t="n">
        <v>136800</v>
      </c>
    </row>
    <row r="3" customFormat="false" ht="119.4" hidden="false" customHeight="true" outlineLevel="0" collapsed="false">
      <c r="C3" s="3" t="n">
        <v>2</v>
      </c>
      <c r="D3" s="4" t="s">
        <v>7</v>
      </c>
      <c r="E3" s="5" t="s">
        <v>8</v>
      </c>
      <c r="F3" s="6" t="n">
        <v>2280</v>
      </c>
      <c r="G3" s="6" t="n">
        <v>114000</v>
      </c>
    </row>
    <row r="4" customFormat="false" ht="119.4" hidden="false" customHeight="true" outlineLevel="0" collapsed="false">
      <c r="C4" s="3" t="n">
        <v>3</v>
      </c>
      <c r="D4" s="4" t="s">
        <v>9</v>
      </c>
      <c r="E4" s="5" t="s">
        <v>8</v>
      </c>
      <c r="F4" s="6" t="n">
        <v>2280</v>
      </c>
      <c r="G4" s="6" t="n">
        <v>114000</v>
      </c>
    </row>
    <row r="5" customFormat="false" ht="119.4" hidden="false" customHeight="true" outlineLevel="0" collapsed="false">
      <c r="C5" s="3" t="n">
        <v>4</v>
      </c>
      <c r="D5" s="4" t="s">
        <v>10</v>
      </c>
      <c r="E5" s="5" t="s">
        <v>11</v>
      </c>
      <c r="F5" s="6" t="n">
        <v>2280</v>
      </c>
      <c r="G5" s="6" t="n">
        <v>91200</v>
      </c>
    </row>
    <row r="6" customFormat="false" ht="119.4" hidden="false" customHeight="true" outlineLevel="0" collapsed="false">
      <c r="C6" s="3" t="n">
        <v>5</v>
      </c>
      <c r="D6" s="4" t="s">
        <v>12</v>
      </c>
      <c r="E6" s="5" t="s">
        <v>13</v>
      </c>
      <c r="F6" s="6" t="n">
        <v>404700</v>
      </c>
      <c r="G6" s="6" t="n">
        <v>1618800</v>
      </c>
    </row>
    <row r="7" customFormat="false" ht="119.4" hidden="false" customHeight="true" outlineLevel="0" collapsed="false">
      <c r="C7" s="3" t="n">
        <v>6</v>
      </c>
      <c r="D7" s="4" t="s">
        <v>14</v>
      </c>
      <c r="E7" s="5" t="s">
        <v>15</v>
      </c>
      <c r="F7" s="6" t="n">
        <v>26220</v>
      </c>
      <c r="G7" s="6" t="n">
        <v>262200</v>
      </c>
    </row>
    <row r="8" customFormat="false" ht="119.4" hidden="false" customHeight="true" outlineLevel="0" collapsed="false"/>
    <row r="9" customFormat="false" ht="119.4" hidden="false" customHeight="true" outlineLevel="0" collapsed="false"/>
    <row r="10" customFormat="false" ht="119.4" hidden="false" customHeight="true" outlineLevel="0" collapsed="false"/>
    <row r="11" customFormat="false" ht="119.4" hidden="false" customHeight="true" outlineLevel="0" collapsed="false"/>
    <row r="12" customFormat="false" ht="119.4" hidden="false" customHeight="true" outlineLevel="0" collapsed="false"/>
    <row r="13" customFormat="false" ht="119.4" hidden="false" customHeight="true" outlineLevel="0" collapsed="false"/>
    <row r="14" customFormat="false" ht="119.4" hidden="false" customHeight="true" outlineLevel="0" collapsed="false"/>
    <row r="15" customFormat="false" ht="119.4" hidden="false" customHeight="true" outlineLevel="0" collapsed="false"/>
    <row r="16" customFormat="false" ht="119.4" hidden="false" customHeight="true" outlineLevel="0" collapsed="false"/>
    <row r="17" customFormat="false" ht="119.4" hidden="false" customHeight="true" outlineLevel="0" collapsed="false"/>
    <row r="18" customFormat="false" ht="119.4" hidden="false" customHeight="true" outlineLevel="0" collapsed="false"/>
    <row r="19" customFormat="false" ht="119.4" hidden="false" customHeight="true" outlineLevel="0" collapsed="false"/>
    <row r="20" customFormat="false" ht="119.4" hidden="false" customHeight="true" outlineLevel="0" collapsed="false"/>
    <row r="21" customFormat="false" ht="119.4" hidden="false" customHeight="true" outlineLevel="0" collapsed="false"/>
    <row r="22" customFormat="false" ht="119.4" hidden="false" customHeight="true" outlineLevel="0" collapsed="false"/>
    <row r="23" customFormat="false" ht="119.4" hidden="false" customHeight="true" outlineLevel="0" collapsed="false"/>
    <row r="24" customFormat="false" ht="119.4" hidden="false" customHeight="true" outlineLevel="0" collapsed="false"/>
    <row r="25" customFormat="false" ht="119.4" hidden="false" customHeight="true" outlineLevel="0" collapsed="false"/>
    <row r="26" customFormat="false" ht="119.4" hidden="false" customHeight="true" outlineLevel="0" collapsed="false"/>
    <row r="27" customFormat="false" ht="119.4" hidden="false" customHeight="true" outlineLevel="0" collapsed="false"/>
    <row r="28" customFormat="false" ht="119.4" hidden="false" customHeight="true" outlineLevel="0" collapsed="false"/>
    <row r="29" customFormat="false" ht="119.4" hidden="false" customHeight="true" outlineLevel="0" collapsed="false"/>
    <row r="30" customFormat="false" ht="119.4" hidden="false" customHeight="true" outlineLevel="0" collapsed="false"/>
    <row r="31" customFormat="false" ht="119.4" hidden="false" customHeight="true" outlineLevel="0" collapsed="false"/>
    <row r="32" customFormat="false" ht="119.4" hidden="false" customHeight="true" outlineLevel="0" collapsed="false"/>
    <row r="33" customFormat="false" ht="119.4" hidden="false" customHeight="true" outlineLevel="0" collapsed="false"/>
    <row r="34" customFormat="false" ht="119.4" hidden="false" customHeight="true" outlineLevel="0" collapsed="false"/>
    <row r="35" customFormat="false" ht="119.4" hidden="false" customHeight="true" outlineLevel="0" collapsed="false"/>
    <row r="36" customFormat="false" ht="119.4" hidden="false" customHeight="true" outlineLevel="0" collapsed="false"/>
    <row r="37" customFormat="false" ht="119.4" hidden="false" customHeight="true" outlineLevel="0" collapsed="false"/>
    <row r="38" customFormat="false" ht="119.4" hidden="false" customHeight="true" outlineLevel="0" collapsed="false"/>
    <row r="39" customFormat="false" ht="119.4" hidden="false" customHeight="true" outlineLevel="0" collapsed="false"/>
    <row r="40" customFormat="false" ht="119.4" hidden="false" customHeight="true" outlineLevel="0" collapsed="false"/>
    <row r="41" customFormat="false" ht="119.4" hidden="false" customHeight="true" outlineLevel="0" collapsed="false"/>
    <row r="42" customFormat="false" ht="119.4" hidden="false" customHeight="true" outlineLevel="0" collapsed="false"/>
    <row r="43" customFormat="false" ht="119.4" hidden="false" customHeight="true" outlineLevel="0" collapsed="false"/>
    <row r="44" customFormat="false" ht="119.4" hidden="false" customHeight="true" outlineLevel="0" collapsed="false"/>
    <row r="45" customFormat="false" ht="119.4" hidden="false" customHeight="true" outlineLevel="0" collapsed="false"/>
    <row r="46" customFormat="false" ht="119.4" hidden="false" customHeight="true" outlineLevel="0" collapsed="false"/>
    <row r="47" customFormat="false" ht="119.4" hidden="false" customHeight="true" outlineLevel="0" collapsed="false"/>
    <row r="48" customFormat="false" ht="119.4" hidden="false" customHeight="true" outlineLevel="0" collapsed="false"/>
    <row r="49" customFormat="false" ht="119.4" hidden="false" customHeight="true" outlineLevel="0" collapsed="false"/>
  </sheetData>
  <printOptions headings="false" gridLines="false" gridLinesSet="true" horizontalCentered="true" verticalCentered="true"/>
  <pageMargins left="0.2" right="0.2" top="0.2" bottom="0.2" header="0.511811023622047" footer="0.511811023622047"/>
  <pageSetup paperSize="9" scale="4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C1" colorId="64" zoomScale="180" zoomScaleNormal="180" zoomScalePageLayoutView="200" workbookViewId="0">
      <selection pane="topLeft" activeCell="F20" activeCellId="0" sqref="F20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16</v>
      </c>
      <c r="C1" s="1" t="s">
        <v>1</v>
      </c>
      <c r="D1" s="1" t="s">
        <v>2</v>
      </c>
      <c r="E1" s="1" t="s">
        <v>3</v>
      </c>
      <c r="F1" s="1" t="s">
        <v>4</v>
      </c>
      <c r="G1" s="7" t="n">
        <v>0.08</v>
      </c>
    </row>
    <row r="2" customFormat="false" ht="12.8" hidden="false" customHeight="false" outlineLevel="0" collapsed="false">
      <c r="A2" s="1" t="n">
        <v>1</v>
      </c>
      <c r="B2" s="1" t="n">
        <v>38562</v>
      </c>
      <c r="C2" s="1" t="s">
        <v>5</v>
      </c>
      <c r="D2" s="1" t="s">
        <v>6</v>
      </c>
      <c r="E2" s="1" t="n">
        <v>4560</v>
      </c>
      <c r="F2" s="8" t="n">
        <v>136800</v>
      </c>
      <c r="G2" s="8"/>
    </row>
    <row r="3" customFormat="false" ht="12.8" hidden="false" customHeight="false" outlineLevel="0" collapsed="false">
      <c r="A3" s="1" t="n">
        <v>2</v>
      </c>
      <c r="B3" s="1" t="n">
        <v>3358</v>
      </c>
      <c r="C3" s="1" t="s">
        <v>7</v>
      </c>
      <c r="D3" s="1" t="s">
        <v>8</v>
      </c>
      <c r="E3" s="1" t="n">
        <v>2280</v>
      </c>
      <c r="F3" s="8" t="n">
        <v>114000</v>
      </c>
      <c r="G3" s="8"/>
    </row>
    <row r="4" customFormat="false" ht="12.8" hidden="false" customHeight="false" outlineLevel="0" collapsed="false">
      <c r="A4" s="1" t="n">
        <v>3</v>
      </c>
      <c r="B4" s="1" t="n">
        <v>19041</v>
      </c>
      <c r="C4" s="1" t="s">
        <v>9</v>
      </c>
      <c r="D4" s="1" t="s">
        <v>8</v>
      </c>
      <c r="E4" s="1" t="n">
        <v>2280</v>
      </c>
      <c r="F4" s="8" t="n">
        <v>114000</v>
      </c>
      <c r="G4" s="8"/>
    </row>
    <row r="5" customFormat="false" ht="12.8" hidden="false" customHeight="false" outlineLevel="0" collapsed="false">
      <c r="A5" s="1" t="n">
        <v>4</v>
      </c>
      <c r="B5" s="1" t="n">
        <v>19034</v>
      </c>
      <c r="C5" s="1" t="s">
        <v>10</v>
      </c>
      <c r="D5" s="1" t="s">
        <v>11</v>
      </c>
      <c r="E5" s="1" t="n">
        <v>2280</v>
      </c>
      <c r="F5" s="8" t="n">
        <v>91200</v>
      </c>
      <c r="G5" s="8"/>
    </row>
    <row r="6" customFormat="false" ht="12.8" hidden="false" customHeight="false" outlineLevel="0" collapsed="false">
      <c r="A6" s="1" t="n">
        <v>5</v>
      </c>
      <c r="B6" s="1" t="n">
        <v>26913</v>
      </c>
      <c r="C6" s="1" t="s">
        <v>12</v>
      </c>
      <c r="D6" s="1" t="s">
        <v>13</v>
      </c>
      <c r="E6" s="1" t="n">
        <v>404700</v>
      </c>
      <c r="F6" s="8" t="n">
        <v>1618800</v>
      </c>
      <c r="G6" s="8"/>
    </row>
    <row r="7" customFormat="false" ht="12.8" hidden="false" customHeight="false" outlineLevel="0" collapsed="false">
      <c r="A7" s="1" t="n">
        <v>6</v>
      </c>
      <c r="B7" s="1" t="n">
        <v>2347</v>
      </c>
      <c r="C7" s="1" t="s">
        <v>14</v>
      </c>
      <c r="D7" s="1" t="s">
        <v>15</v>
      </c>
      <c r="E7" s="1" t="n">
        <v>26220</v>
      </c>
      <c r="F7" s="8" t="n">
        <v>262200</v>
      </c>
      <c r="G7" s="8"/>
    </row>
    <row r="8" customFormat="false" ht="44.75" hidden="false" customHeight="true" outlineLevel="0" collapsed="false">
      <c r="C8" s="1" t="s">
        <v>17</v>
      </c>
      <c r="D8" s="1" t="n">
        <v>1</v>
      </c>
      <c r="E8" s="1" t="n">
        <v>290600</v>
      </c>
      <c r="F8" s="8" t="n">
        <f aca="false">SUM(F2:F7)</f>
        <v>2337000</v>
      </c>
      <c r="G8" s="8"/>
    </row>
    <row r="9" customFormat="false" ht="12.8" hidden="false" customHeight="false" outlineLevel="0" collapsed="false">
      <c r="F9" s="1" t="n">
        <v>45000</v>
      </c>
    </row>
    <row r="10" customFormat="false" ht="12.8" hidden="false" customHeight="false" outlineLevel="0" collapsed="false">
      <c r="F10" s="1" t="n">
        <f aca="false">(F8+F9)*8%</f>
        <v>190560</v>
      </c>
    </row>
    <row r="11" customFormat="false" ht="12.8" hidden="false" customHeight="false" outlineLevel="0" collapsed="false">
      <c r="F11" s="1" t="n">
        <v>55000</v>
      </c>
    </row>
    <row r="12" customFormat="false" ht="12.8" hidden="false" customHeight="false" outlineLevel="0" collapsed="false">
      <c r="F12" s="1" t="n">
        <f aca="false">SUM(F8:F11)</f>
        <v>2627560</v>
      </c>
    </row>
    <row r="14" customFormat="false" ht="12.8" hidden="false" customHeight="false" outlineLevel="0" collapsed="false">
      <c r="F14" s="1" t="n">
        <f aca="false">2627600-F8</f>
        <v>290600</v>
      </c>
    </row>
    <row r="19" customFormat="false" ht="12.8" hidden="false" customHeight="false" outlineLevel="0" collapsed="false">
      <c r="F19" s="0" t="n">
        <f aca="false">SUM(F8+F9+F11)*8%</f>
        <v>194960</v>
      </c>
    </row>
  </sheetData>
  <printOptions headings="false" gridLines="false" gridLinesSet="true" horizontalCentered="true" verticalCentered="true"/>
  <pageMargins left="0.2" right="0.2" top="0.2" bottom="0.2" header="0.511811023622047" footer="0.511811023622047"/>
  <pageSetup paperSize="9" scale="4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1"/>
  <sheetViews>
    <sheetView showFormulas="false" showGridLines="true" showRowColHeaders="true" showZeros="true" rightToLeft="false" tabSelected="false" showOutlineSymbols="true" defaultGridColor="true" view="normal" topLeftCell="A1" colorId="64" zoomScale="180" zoomScaleNormal="180" zoomScalePageLayoutView="200" workbookViewId="0">
      <selection pane="topLeft" activeCell="B11" activeCellId="0" sqref="B11"/>
    </sheetView>
  </sheetViews>
  <sheetFormatPr defaultColWidth="11.53515625" defaultRowHeight="12.8" zeroHeight="false" outlineLevelRow="0" outlineLevelCol="0"/>
  <sheetData>
    <row r="2" customFormat="false" ht="12.8" hidden="false" customHeight="false" outlineLevel="0" collapsed="false">
      <c r="B2" s="0" t="n">
        <v>262200</v>
      </c>
    </row>
    <row r="3" customFormat="false" ht="12.8" hidden="false" customHeight="false" outlineLevel="0" collapsed="false">
      <c r="B3" s="0" t="n">
        <v>1618800</v>
      </c>
    </row>
    <row r="4" customFormat="false" ht="12.8" hidden="false" customHeight="false" outlineLevel="0" collapsed="false">
      <c r="B4" s="0" t="n">
        <v>114000</v>
      </c>
    </row>
    <row r="5" customFormat="false" ht="12.8" hidden="false" customHeight="false" outlineLevel="0" collapsed="false">
      <c r="B5" s="0" t="n">
        <v>114000</v>
      </c>
    </row>
    <row r="6" customFormat="false" ht="12.8" hidden="false" customHeight="false" outlineLevel="0" collapsed="false">
      <c r="B6" s="0" t="n">
        <v>136800</v>
      </c>
    </row>
    <row r="7" customFormat="false" ht="12.8" hidden="false" customHeight="false" outlineLevel="0" collapsed="false">
      <c r="B7" s="0" t="n">
        <v>91200</v>
      </c>
    </row>
    <row r="8" customFormat="false" ht="12.8" hidden="false" customHeight="false" outlineLevel="0" collapsed="false">
      <c r="B8" s="0" t="n">
        <v>45000</v>
      </c>
    </row>
    <row r="9" customFormat="false" ht="12.8" hidden="false" customHeight="false" outlineLevel="0" collapsed="false">
      <c r="B9" s="0" t="n">
        <v>194960</v>
      </c>
    </row>
    <row r="10" customFormat="false" ht="12.8" hidden="false" customHeight="false" outlineLevel="0" collapsed="false">
      <c r="B10" s="0" t="n">
        <v>55000</v>
      </c>
    </row>
    <row r="11" customFormat="false" ht="12.8" hidden="false" customHeight="false" outlineLevel="0" collapsed="false">
      <c r="B11" s="0" t="n">
        <f aca="false">SUM(B2:B10)</f>
        <v>2631960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2026-08-04T16:53:39Z</dcterms:created>
  <dc:creator/>
  <dc:description/>
  <dc:language>en-US</dc:language>
  <cp:lastModifiedBy/>
  <cp:lastPrinted>2026-08-04T17:05:02Z</cp:lastPrinted>
  <dcterms:modified xsi:type="dcterms:W3CDTF">2026-08-06T09:42:00Z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